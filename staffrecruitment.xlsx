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kash Baburaj.K\OneDrive\Desktop\Internship1\"/>
    </mc:Choice>
  </mc:AlternateContent>
  <xr:revisionPtr revIDLastSave="0" documentId="13_ncr:1_{EBB0C428-785D-4806-A448-6945E0837E8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taff Recruitment 2025" sheetId="1" r:id="rId1"/>
    <sheet name="Department Summary" sheetId="2" r:id="rId2"/>
  </sheets>
  <definedNames>
    <definedName name="_xlnm._FilterDatabase" localSheetId="0" hidden="1">'Staff Recruitment 2025'!$A$6:$L$56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2" l="1"/>
  <c r="C13" i="2"/>
  <c r="B13" i="2"/>
  <c r="D12" i="2"/>
  <c r="C12" i="2"/>
  <c r="B12" i="2"/>
  <c r="D11" i="2"/>
  <c r="C11" i="2"/>
  <c r="B11" i="2"/>
  <c r="D10" i="2"/>
  <c r="C10" i="2"/>
  <c r="B10" i="2"/>
  <c r="D9" i="2"/>
  <c r="C9" i="2"/>
  <c r="B9" i="2"/>
  <c r="D8" i="2"/>
  <c r="C8" i="2"/>
  <c r="B8" i="2"/>
  <c r="D7" i="2"/>
  <c r="C7" i="2"/>
  <c r="B7" i="2"/>
  <c r="D6" i="2"/>
  <c r="C6" i="2"/>
  <c r="B6" i="2"/>
  <c r="D5" i="2"/>
  <c r="C5" i="2"/>
  <c r="B5" i="2"/>
  <c r="D4" i="2"/>
  <c r="D14" i="2" s="1"/>
  <c r="C4" i="2"/>
  <c r="C14" i="2" s="1"/>
  <c r="B4" i="2"/>
  <c r="B14" i="2" s="1"/>
  <c r="K4" i="1"/>
  <c r="H4" i="1"/>
  <c r="D4" i="1"/>
</calcChain>
</file>

<file path=xl/sharedStrings.xml><?xml version="1.0" encoding="utf-8"?>
<sst xmlns="http://schemas.openxmlformats.org/spreadsheetml/2006/main" count="583" uniqueCount="314">
  <si>
    <t>IIMA — Staff Recruitment Register 2025</t>
  </si>
  <si>
    <t>Human Resources Department  |  Confidential</t>
  </si>
  <si>
    <t>Total Applications:</t>
  </si>
  <si>
    <t>Shortlisted:</t>
  </si>
  <si>
    <t>Selected:</t>
  </si>
  <si>
    <t>App. ID</t>
  </si>
  <si>
    <t>Full Name</t>
  </si>
  <si>
    <t>Date of Birth</t>
  </si>
  <si>
    <t>Gender</t>
  </si>
  <si>
    <t>Department</t>
  </si>
  <si>
    <t>Position Applied</t>
  </si>
  <si>
    <t>Qualification</t>
  </si>
  <si>
    <t>Experience (Yrs)</t>
  </si>
  <si>
    <t>Application Date</t>
  </si>
  <si>
    <t>Interview Date</t>
  </si>
  <si>
    <t>Status</t>
  </si>
  <si>
    <t>Remarks</t>
  </si>
  <si>
    <t>IIMA-2025-101</t>
  </si>
  <si>
    <t>Farhan Agarwal</t>
  </si>
  <si>
    <t>1988-04-08</t>
  </si>
  <si>
    <t>Female</t>
  </si>
  <si>
    <t>Finance</t>
  </si>
  <si>
    <t>Accounts Officer</t>
  </si>
  <si>
    <t>MCA</t>
  </si>
  <si>
    <t>2025-01-01</t>
  </si>
  <si>
    <t>2025-04-07</t>
  </si>
  <si>
    <t>Selected</t>
  </si>
  <si>
    <t>Offer letter issued</t>
  </si>
  <si>
    <t>IIMA-2025-102</t>
  </si>
  <si>
    <t>Suresh Joshi</t>
  </si>
  <si>
    <t>2000-12-18</t>
  </si>
  <si>
    <t>Library</t>
  </si>
  <si>
    <t>Digital Resources Manager</t>
  </si>
  <si>
    <t>2025-01-25</t>
  </si>
  <si>
    <t>2025-04-23</t>
  </si>
  <si>
    <t>Rejected</t>
  </si>
  <si>
    <t>Failed aptitude test</t>
  </si>
  <si>
    <t>IIMA-2025-103</t>
  </si>
  <si>
    <t>Mohammed Ghosh</t>
  </si>
  <si>
    <t>1986-06-04</t>
  </si>
  <si>
    <t>Male</t>
  </si>
  <si>
    <t>Facilities Management</t>
  </si>
  <si>
    <t>Facilities Supervisor</t>
  </si>
  <si>
    <t>BCA</t>
  </si>
  <si>
    <t>2025-03-26</t>
  </si>
  <si>
    <t>2025-04-24</t>
  </si>
  <si>
    <t>On Hold</t>
  </si>
  <si>
    <t>Position on freeze</t>
  </si>
  <si>
    <t>IIMA-2025-104</t>
  </si>
  <si>
    <t>Rahul Chandra</t>
  </si>
  <si>
    <t>1997-05-27</t>
  </si>
  <si>
    <t>Human Resources</t>
  </si>
  <si>
    <t>Recruitment Executive</t>
  </si>
  <si>
    <t>B.Lib</t>
  </si>
  <si>
    <t>2025-01-22</t>
  </si>
  <si>
    <t>2025-04-25</t>
  </si>
  <si>
    <t>IIMA-2025-105</t>
  </si>
  <si>
    <t>Lakshmi Das</t>
  </si>
  <si>
    <t>1992-05-15</t>
  </si>
  <si>
    <t>IT &amp; Systems</t>
  </si>
  <si>
    <t>Network Engineer</t>
  </si>
  <si>
    <t>2025-03-23</t>
  </si>
  <si>
    <t>2025-06-21</t>
  </si>
  <si>
    <t>Shortlisted</t>
  </si>
  <si>
    <t>Strong technical skills</t>
  </si>
  <si>
    <t>IIMA-2025-106</t>
  </si>
  <si>
    <t>Sneha Kapoor</t>
  </si>
  <si>
    <t>1985-08-13</t>
  </si>
  <si>
    <t>Student Affairs</t>
  </si>
  <si>
    <t>Placement Officer</t>
  </si>
  <si>
    <t>MA</t>
  </si>
  <si>
    <t>2025-01-08</t>
  </si>
  <si>
    <t>2025-04-26</t>
  </si>
  <si>
    <t>Under Review</t>
  </si>
  <si>
    <t>Awaiting HOD approval</t>
  </si>
  <si>
    <t>IIMA-2025-107</t>
  </si>
  <si>
    <t>Mohammed Chandra</t>
  </si>
  <si>
    <t>1986-10-23</t>
  </si>
  <si>
    <t>MBA</t>
  </si>
  <si>
    <t>2025-02-09</t>
  </si>
  <si>
    <t>2025-04-08</t>
  </si>
  <si>
    <t>Awaiting documents</t>
  </si>
  <si>
    <t>IIMA-2025-108</t>
  </si>
  <si>
    <t>Uma Pandey</t>
  </si>
  <si>
    <t>1991-04-05</t>
  </si>
  <si>
    <t>Research Support</t>
  </si>
  <si>
    <t>Research Associate</t>
  </si>
  <si>
    <t>PGDM</t>
  </si>
  <si>
    <t>2025-01-05</t>
  </si>
  <si>
    <t>2025-06-06</t>
  </si>
  <si>
    <t>Does not meet criteria</t>
  </si>
  <si>
    <t>IIMA-2025-109</t>
  </si>
  <si>
    <t>Rahul Pandey</t>
  </si>
  <si>
    <t>1999-08-17</t>
  </si>
  <si>
    <t>Student Counsellor</t>
  </si>
  <si>
    <t>2025-03-25</t>
  </si>
  <si>
    <t>2025-06-11</t>
  </si>
  <si>
    <t>Recommended by panel</t>
  </si>
  <si>
    <t>IIMA-2025-110</t>
  </si>
  <si>
    <t>Riya Iyer</t>
  </si>
  <si>
    <t>1994-01-24</t>
  </si>
  <si>
    <t>M.Sc</t>
  </si>
  <si>
    <t>2025-03-27</t>
  </si>
  <si>
    <t>2025-06-17</t>
  </si>
  <si>
    <t>Joining confirmed</t>
  </si>
  <si>
    <t>IIMA-2025-111</t>
  </si>
  <si>
    <t>Priya Iyer</t>
  </si>
  <si>
    <t>1997-09-01</t>
  </si>
  <si>
    <t>Training Coordinator</t>
  </si>
  <si>
    <t>B.Com</t>
  </si>
  <si>
    <t>2025-05-08</t>
  </si>
  <si>
    <t>IIMA-2025-112</t>
  </si>
  <si>
    <t>Tanya Chandra</t>
  </si>
  <si>
    <t>1982-12-16</t>
  </si>
  <si>
    <t>B.Tech</t>
  </si>
  <si>
    <t>2025-06-28</t>
  </si>
  <si>
    <t>Below experience threshold</t>
  </si>
  <si>
    <t>IIMA-2025-113</t>
  </si>
  <si>
    <t>Sneha Joshi</t>
  </si>
  <si>
    <t>1989-07-22</t>
  </si>
  <si>
    <t>Grant Coordinator</t>
  </si>
  <si>
    <t>B.Sc</t>
  </si>
  <si>
    <t>2025-02-03</t>
  </si>
  <si>
    <t>2025-05-01</t>
  </si>
  <si>
    <t>IIMA-2025-114</t>
  </si>
  <si>
    <t>Aarav Chandra</t>
  </si>
  <si>
    <t>2000-01-08</t>
  </si>
  <si>
    <t>Administration</t>
  </si>
  <si>
    <t>Executive Assistant</t>
  </si>
  <si>
    <t>2025-06-16</t>
  </si>
  <si>
    <t>IIMA-2025-115</t>
  </si>
  <si>
    <t>Tanya Singh</t>
  </si>
  <si>
    <t>1995-04-26</t>
  </si>
  <si>
    <t>Maintenance Officer</t>
  </si>
  <si>
    <t>2025-04-12</t>
  </si>
  <si>
    <t>2025-05-14</t>
  </si>
  <si>
    <t>IIMA-2025-116</t>
  </si>
  <si>
    <t>Divya Bhat</t>
  </si>
  <si>
    <t>1992-12-11</t>
  </si>
  <si>
    <t>Library Assistant</t>
  </si>
  <si>
    <t>BA</t>
  </si>
  <si>
    <t>2025-04-05</t>
  </si>
  <si>
    <t>2025-05-06</t>
  </si>
  <si>
    <t>IIMA-2025-117</t>
  </si>
  <si>
    <t>Manish Chandra</t>
  </si>
  <si>
    <t>1994-09-04</t>
  </si>
  <si>
    <t>2025-02-14</t>
  </si>
  <si>
    <t>2025-05-16</t>
  </si>
  <si>
    <t>IIMA-2025-118</t>
  </si>
  <si>
    <t>Ananya Iyer</t>
  </si>
  <si>
    <t>1992-01-13</t>
  </si>
  <si>
    <t>Data Analyst</t>
  </si>
  <si>
    <t>2025-04-10</t>
  </si>
  <si>
    <t>IIMA-2025-119</t>
  </si>
  <si>
    <t>Uma Sharma</t>
  </si>
  <si>
    <t>1981-12-11</t>
  </si>
  <si>
    <t>Registrar Clerk</t>
  </si>
  <si>
    <t>2025-02-02</t>
  </si>
  <si>
    <t>2025-06-03</t>
  </si>
  <si>
    <t>Cleared written test</t>
  </si>
  <si>
    <t>IIMA-2025-120</t>
  </si>
  <si>
    <t>Varun Chandra</t>
  </si>
  <si>
    <t>1987-07-04</t>
  </si>
  <si>
    <t>Librarian</t>
  </si>
  <si>
    <t>2025-04-22</t>
  </si>
  <si>
    <t>2025-06-19</t>
  </si>
  <si>
    <t>Reference check ongoing</t>
  </si>
  <si>
    <t>IIMA-2025-121</t>
  </si>
  <si>
    <t>Kiran Mishra</t>
  </si>
  <si>
    <t>1987-05-13</t>
  </si>
  <si>
    <t>Academic Affairs</t>
  </si>
  <si>
    <t>Timetable Coordinator</t>
  </si>
  <si>
    <t>2025-01-15</t>
  </si>
  <si>
    <t>IIMA-2025-122</t>
  </si>
  <si>
    <t>1996-05-05</t>
  </si>
  <si>
    <t>Finance Analyst</t>
  </si>
  <si>
    <t>2025-02-15</t>
  </si>
  <si>
    <t>2025-06-23</t>
  </si>
  <si>
    <t>IIMA-2025-123</t>
  </si>
  <si>
    <t>Suresh Mehta</t>
  </si>
  <si>
    <t>1983-03-09</t>
  </si>
  <si>
    <t>BBA</t>
  </si>
  <si>
    <t>2025-02-23</t>
  </si>
  <si>
    <t>2025-05-07</t>
  </si>
  <si>
    <t>IIMA-2025-124</t>
  </si>
  <si>
    <t>Meera Bhat</t>
  </si>
  <si>
    <t>1982-11-14</t>
  </si>
  <si>
    <t>Administrative Officer</t>
  </si>
  <si>
    <t>2025-03-06</t>
  </si>
  <si>
    <t>2025-06-15</t>
  </si>
  <si>
    <t>IIMA-2025-125</t>
  </si>
  <si>
    <t>Farhan Chandra</t>
  </si>
  <si>
    <t>1984-09-02</t>
  </si>
  <si>
    <t>Communications</t>
  </si>
  <si>
    <t>Content Writer</t>
  </si>
  <si>
    <t>2025-01-10</t>
  </si>
  <si>
    <t>2025-05-26</t>
  </si>
  <si>
    <t>IIMA-2025-126</t>
  </si>
  <si>
    <t>Kiran Kapoor</t>
  </si>
  <si>
    <t>1983-06-25</t>
  </si>
  <si>
    <t>2025-04-06</t>
  </si>
  <si>
    <t>IIMA-2025-127</t>
  </si>
  <si>
    <t>Manish Kumar</t>
  </si>
  <si>
    <t>1985-12-04</t>
  </si>
  <si>
    <t>2025-05-27</t>
  </si>
  <si>
    <t>IIMA-2025-128</t>
  </si>
  <si>
    <t>Aditi Joshi</t>
  </si>
  <si>
    <t>1992-06-09</t>
  </si>
  <si>
    <t>Examination Officer</t>
  </si>
  <si>
    <t>IIMA-2025-129</t>
  </si>
  <si>
    <t>Meera Iyer</t>
  </si>
  <si>
    <t>1998-05-02</t>
  </si>
  <si>
    <t>Graphic Designer</t>
  </si>
  <si>
    <t>2025-04-20</t>
  </si>
  <si>
    <t>2025-06-04</t>
  </si>
  <si>
    <t>IIMA-2025-130</t>
  </si>
  <si>
    <t>1993-01-17</t>
  </si>
  <si>
    <t>Cataloguing Officer</t>
  </si>
  <si>
    <t>2025-03-20</t>
  </si>
  <si>
    <t>2025-05-22</t>
  </si>
  <si>
    <t>IIMA-2025-131</t>
  </si>
  <si>
    <t>Sanika Mehta</t>
  </si>
  <si>
    <t>1993-06-13</t>
  </si>
  <si>
    <t>IIMA-2025-132</t>
  </si>
  <si>
    <t>Suresh Agarwal</t>
  </si>
  <si>
    <t>1989-05-07</t>
  </si>
  <si>
    <t>Media Relations Executive</t>
  </si>
  <si>
    <t>M.Com</t>
  </si>
  <si>
    <t>2025-04-17</t>
  </si>
  <si>
    <t>Budget approval pending</t>
  </si>
  <si>
    <t>IIMA-2025-133</t>
  </si>
  <si>
    <t>Deepa Mehta</t>
  </si>
  <si>
    <t>1996-11-21</t>
  </si>
  <si>
    <t>HR Officer</t>
  </si>
  <si>
    <t>PhD</t>
  </si>
  <si>
    <t>2025-03-08</t>
  </si>
  <si>
    <t>IIMA-2025-134</t>
  </si>
  <si>
    <t>Manish Rao</t>
  </si>
  <si>
    <t>1999-02-15</t>
  </si>
  <si>
    <t>2025-04-13</t>
  </si>
  <si>
    <t>IIMA-2025-135</t>
  </si>
  <si>
    <t>Riya Kapoor</t>
  </si>
  <si>
    <t>1985-12-17</t>
  </si>
  <si>
    <t>Office Assistant</t>
  </si>
  <si>
    <t>IIMA-2025-136</t>
  </si>
  <si>
    <t>Vineeta Reddy</t>
  </si>
  <si>
    <t>1993-09-15</t>
  </si>
  <si>
    <t>Background verified</t>
  </si>
  <si>
    <t>IIMA-2025-137</t>
  </si>
  <si>
    <t>Rohan Chandra</t>
  </si>
  <si>
    <t>1989-04-09</t>
  </si>
  <si>
    <t>2025-02-13</t>
  </si>
  <si>
    <t>2025-06-05</t>
  </si>
  <si>
    <t>IIMA-2025-138</t>
  </si>
  <si>
    <t>Ramya Patel</t>
  </si>
  <si>
    <t>1990-09-15</t>
  </si>
  <si>
    <t>Good communication</t>
  </si>
  <si>
    <t>IIMA-2025-139</t>
  </si>
  <si>
    <t>Sana Agarwal</t>
  </si>
  <si>
    <t>1991-05-25</t>
  </si>
  <si>
    <t>2025-03-14</t>
  </si>
  <si>
    <t>IIMA-2025-140</t>
  </si>
  <si>
    <t>Rajesh Iyer</t>
  </si>
  <si>
    <t>1994-03-20</t>
  </si>
  <si>
    <t>2025-01-03</t>
  </si>
  <si>
    <t>2025-06-14</t>
  </si>
  <si>
    <t>IIMA-2025-141</t>
  </si>
  <si>
    <t>Jaya Bhat</t>
  </si>
  <si>
    <t>1988-07-11</t>
  </si>
  <si>
    <t>2025-05-09</t>
  </si>
  <si>
    <t>IIMA-2025-142</t>
  </si>
  <si>
    <t>Aditi Sharma</t>
  </si>
  <si>
    <t>1981-06-08</t>
  </si>
  <si>
    <t>2025-01-20</t>
  </si>
  <si>
    <t>IIMA-2025-143</t>
  </si>
  <si>
    <t>Farhan Singh</t>
  </si>
  <si>
    <t>1986-08-23</t>
  </si>
  <si>
    <t>2025-02-10</t>
  </si>
  <si>
    <t>2025-04-19</t>
  </si>
  <si>
    <t>IIMA-2025-144</t>
  </si>
  <si>
    <t>Tanya Pandey</t>
  </si>
  <si>
    <t>1992-12-07</t>
  </si>
  <si>
    <t>2025-01-26</t>
  </si>
  <si>
    <t>2025-06-26</t>
  </si>
  <si>
    <t>IIMA-2025-145</t>
  </si>
  <si>
    <t>Sneha Patel</t>
  </si>
  <si>
    <t>1991-02-17</t>
  </si>
  <si>
    <t>2025-01-14</t>
  </si>
  <si>
    <t>2025-05-21</t>
  </si>
  <si>
    <t>IIMA-2025-146</t>
  </si>
  <si>
    <t>1996-11-09</t>
  </si>
  <si>
    <t>Student Activities Coordinator</t>
  </si>
  <si>
    <t>2025-03-11</t>
  </si>
  <si>
    <t>2025-04-27</t>
  </si>
  <si>
    <t>IIMA-2025-147</t>
  </si>
  <si>
    <t>Rohan Kapoor</t>
  </si>
  <si>
    <t>1994-10-20</t>
  </si>
  <si>
    <t>2025-02-16</t>
  </si>
  <si>
    <t>IIMA-2025-148</t>
  </si>
  <si>
    <t>Mohammed Verma</t>
  </si>
  <si>
    <t>1988-09-01</t>
  </si>
  <si>
    <t>2025-04-18</t>
  </si>
  <si>
    <t>Medical check pending</t>
  </si>
  <si>
    <t>IIMA-2025-149</t>
  </si>
  <si>
    <t>Rohan Agarwal</t>
  </si>
  <si>
    <t>1982-05-08</t>
  </si>
  <si>
    <t>2025-03-16</t>
  </si>
  <si>
    <t>IIMA-2025-150</t>
  </si>
  <si>
    <t>Suresh Mishra</t>
  </si>
  <si>
    <t>1991-12-15</t>
  </si>
  <si>
    <t>2025-02-11</t>
  </si>
  <si>
    <t>Recruitment Summary by Department</t>
  </si>
  <si>
    <t>Total Applied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</si>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</sst>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i/>
      <sz val="10"/>
      <color rgb="FFA5B4FC"/>
      <name val="Arial"/>
    </font>
    <font>
      <b/>
      <sz val="10"/>
      <color rgb="FF1E1B4B"/>
      <name val="Arial"/>
    </font>
    <font>
      <b/>
      <sz val="10"/>
      <color rgb="FF7C3AED"/>
      <name val="Arial"/>
    </font>
    <font>
      <b/>
      <sz val="10"/>
      <color rgb="FF059669"/>
      <name val="Arial"/>
    </font>
    <font>
      <b/>
      <sz val="10"/>
      <color rgb="FF065F46"/>
      <name val="Arial"/>
    </font>
    <font>
      <b/>
      <sz val="10"/>
      <color rgb="FFFFFFFF"/>
      <name val="Arial"/>
    </font>
    <font>
      <sz val="9"/>
      <color rgb="FF1F2937"/>
      <name val="Arial"/>
    </font>
    <font>
      <sz val="9"/>
      <color rgb="FF065F46"/>
      <name val="Arial"/>
    </font>
    <font>
      <sz val="9"/>
      <color rgb="FF991B1B"/>
      <name val="Arial"/>
    </font>
    <font>
      <sz val="9"/>
      <color rgb="FF374151"/>
      <name val="Arial"/>
    </font>
    <font>
      <sz val="9"/>
      <color rgb="FF92400E"/>
      <name val="Arial"/>
    </font>
    <font>
      <b/>
      <sz val="14"/>
      <color rgb="FFFFFFFF"/>
      <name val="Arial"/>
    </font>
    <font>
      <sz val="10"/>
      <name val="Arial"/>
    </font>
    <font>
      <sz val="10"/>
      <color rgb="FF1F2937"/>
      <name val="Arial"/>
    </font>
  </fonts>
  <fills count="12">
    <fill>
      <patternFill patternType="none"/>
    </fill>
    <fill>
      <patternFill patternType="gray125"/>
    </fill>
    <fill>
      <patternFill patternType="solid">
        <fgColor rgb="FF1E1B4B"/>
      </patternFill>
    </fill>
    <fill>
      <patternFill patternType="solid">
        <fgColor rgb="FFEDE9FE"/>
      </patternFill>
    </fill>
    <fill>
      <patternFill patternType="solid">
        <fgColor rgb="FF7C3AED"/>
      </patternFill>
    </fill>
    <fill>
      <patternFill patternType="solid">
        <fgColor rgb="FFF9FAFB"/>
      </patternFill>
    </fill>
    <fill>
      <patternFill patternType="solid">
        <fgColor rgb="FFD1FAE5"/>
      </patternFill>
    </fill>
    <fill>
      <patternFill patternType="solid">
        <fgColor rgb="FFFFFFFF"/>
      </patternFill>
    </fill>
    <fill>
      <patternFill patternType="solid">
        <fgColor rgb="FFFEE2E2"/>
      </patternFill>
    </fill>
    <fill>
      <patternFill patternType="solid">
        <fgColor rgb="FFF3F4F6"/>
      </patternFill>
    </fill>
    <fill>
      <patternFill patternType="solid">
        <fgColor rgb="FFECFDF5"/>
      </patternFill>
    </fill>
    <fill>
      <patternFill patternType="solid">
        <fgColor rgb="FFFEF3C7"/>
      </patternFill>
    </fill>
  </fills>
  <borders count="3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medium">
        <color rgb="FFF59E0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4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  <xf numFmtId="0" fontId="7" fillId="4" borderId="1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left" vertical="center"/>
    </xf>
    <xf numFmtId="0" fontId="8" fillId="5" borderId="2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left" vertical="center"/>
    </xf>
    <xf numFmtId="0" fontId="8" fillId="7" borderId="2" xfId="0" applyFont="1" applyFill="1" applyBorder="1" applyAlignment="1">
      <alignment horizontal="center" vertical="center" wrapText="1"/>
    </xf>
    <xf numFmtId="0" fontId="10" fillId="8" borderId="2" xfId="0" applyFont="1" applyFill="1" applyBorder="1" applyAlignment="1">
      <alignment horizontal="center" vertical="center"/>
    </xf>
    <xf numFmtId="0" fontId="11" fillId="9" borderId="2" xfId="0" applyFont="1" applyFill="1" applyBorder="1" applyAlignment="1">
      <alignment horizontal="center" vertical="center"/>
    </xf>
    <xf numFmtId="0" fontId="9" fillId="10" borderId="2" xfId="0" applyFont="1" applyFill="1" applyBorder="1" applyAlignment="1">
      <alignment horizontal="center" vertical="center"/>
    </xf>
    <xf numFmtId="0" fontId="12" fillId="11" borderId="2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14" fillId="5" borderId="2" xfId="0" applyFont="1" applyFill="1" applyBorder="1" applyAlignment="1">
      <alignment horizontal="left"/>
    </xf>
    <xf numFmtId="0" fontId="15" fillId="5" borderId="2" xfId="0" applyFont="1" applyFill="1" applyBorder="1" applyAlignment="1">
      <alignment horizontal="center"/>
    </xf>
    <xf numFmtId="0" fontId="14" fillId="7" borderId="2" xfId="0" applyFont="1" applyFill="1" applyBorder="1" applyAlignment="1">
      <alignment horizontal="left"/>
    </xf>
    <xf numFmtId="0" fontId="15" fillId="7" borderId="2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0" fillId="0" borderId="0" xfId="0"/>
    <xf numFmtId="0" fontId="3" fillId="3" borderId="0" xfId="0" applyFont="1" applyFill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6"/>
  <sheetViews>
    <sheetView tabSelected="1" topLeftCell="D1" workbookViewId="0">
      <pane ySplit="6" topLeftCell="A32" activePane="bottomLeft" state="frozen"/>
      <selection pane="bottomLeft" sqref="A1:L1"/>
    </sheetView>
  </sheetViews>
  <sheetFormatPr defaultRowHeight="14.5" x14ac:dyDescent="0.35"/>
  <cols>
    <col min="1" max="1" width="10" customWidth="1"/>
    <col min="2" max="2" width="22" customWidth="1"/>
    <col min="3" max="3" width="14" customWidth="1"/>
    <col min="4" max="4" width="10" customWidth="1"/>
    <col min="5" max="5" width="20" customWidth="1"/>
    <col min="6" max="6" width="24" customWidth="1"/>
    <col min="7" max="7" width="20" customWidth="1"/>
    <col min="8" max="11" width="16" customWidth="1"/>
    <col min="12" max="12" width="26" customWidth="1"/>
  </cols>
  <sheetData>
    <row r="1" spans="1:12" ht="36" customHeight="1" x14ac:dyDescent="0.35">
      <c r="A1" s="25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</row>
    <row r="2" spans="1:12" ht="20" customHeight="1" x14ac:dyDescent="0.35">
      <c r="A2" s="22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</row>
    <row r="3" spans="1:12" ht="14" customHeight="1" x14ac:dyDescent="0.35"/>
    <row r="4" spans="1:12" x14ac:dyDescent="0.35">
      <c r="A4" s="24" t="s">
        <v>2</v>
      </c>
      <c r="B4" s="23"/>
      <c r="C4" s="23"/>
      <c r="D4" s="1">
        <f>COUNTA(A7:A56)</f>
        <v>50</v>
      </c>
      <c r="E4" s="24" t="s">
        <v>3</v>
      </c>
      <c r="F4" s="23"/>
      <c r="G4" s="23"/>
      <c r="H4" s="2">
        <f>COUNTIF(K7:K56,"Shortlisted")</f>
        <v>18</v>
      </c>
      <c r="I4" s="24" t="s">
        <v>4</v>
      </c>
      <c r="J4" s="23"/>
      <c r="K4" s="3">
        <f>COUNTIF(K7:K56,"Selected")</f>
        <v>16</v>
      </c>
    </row>
    <row r="5" spans="1:12" ht="10" customHeight="1" x14ac:dyDescent="0.35"/>
    <row r="6" spans="1:12" ht="28" customHeight="1" x14ac:dyDescent="0.35">
      <c r="A6" s="4" t="s">
        <v>5</v>
      </c>
      <c r="B6" s="4" t="s">
        <v>6</v>
      </c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  <c r="H6" s="4" t="s">
        <v>12</v>
      </c>
      <c r="I6" s="4" t="s">
        <v>13</v>
      </c>
      <c r="J6" s="4" t="s">
        <v>14</v>
      </c>
      <c r="K6" s="4" t="s">
        <v>15</v>
      </c>
      <c r="L6" s="4" t="s">
        <v>16</v>
      </c>
    </row>
    <row r="7" spans="1:12" ht="18" customHeight="1" x14ac:dyDescent="0.35">
      <c r="A7" s="5" t="s">
        <v>17</v>
      </c>
      <c r="B7" s="6" t="s">
        <v>18</v>
      </c>
      <c r="C7" s="5" t="s">
        <v>19</v>
      </c>
      <c r="D7" s="5" t="s">
        <v>20</v>
      </c>
      <c r="E7" s="5" t="s">
        <v>21</v>
      </c>
      <c r="F7" s="7" t="s">
        <v>22</v>
      </c>
      <c r="G7" s="5" t="s">
        <v>23</v>
      </c>
      <c r="H7" s="5">
        <v>13</v>
      </c>
      <c r="I7" s="5" t="s">
        <v>24</v>
      </c>
      <c r="J7" s="5" t="s">
        <v>25</v>
      </c>
      <c r="K7" s="8" t="s">
        <v>26</v>
      </c>
      <c r="L7" s="7" t="s">
        <v>27</v>
      </c>
    </row>
    <row r="8" spans="1:12" ht="18" customHeight="1" x14ac:dyDescent="0.35">
      <c r="A8" s="9" t="s">
        <v>28</v>
      </c>
      <c r="B8" s="10" t="s">
        <v>29</v>
      </c>
      <c r="C8" s="9" t="s">
        <v>30</v>
      </c>
      <c r="D8" s="9" t="s">
        <v>20</v>
      </c>
      <c r="E8" s="9" t="s">
        <v>31</v>
      </c>
      <c r="F8" s="11" t="s">
        <v>32</v>
      </c>
      <c r="G8" s="9" t="s">
        <v>23</v>
      </c>
      <c r="H8" s="9">
        <v>8</v>
      </c>
      <c r="I8" s="9" t="s">
        <v>33</v>
      </c>
      <c r="J8" s="9" t="s">
        <v>34</v>
      </c>
      <c r="K8" s="12" t="s">
        <v>35</v>
      </c>
      <c r="L8" s="11" t="s">
        <v>36</v>
      </c>
    </row>
    <row r="9" spans="1:12" ht="18" customHeight="1" x14ac:dyDescent="0.35">
      <c r="A9" s="5" t="s">
        <v>37</v>
      </c>
      <c r="B9" s="6" t="s">
        <v>38</v>
      </c>
      <c r="C9" s="5" t="s">
        <v>39</v>
      </c>
      <c r="D9" s="5" t="s">
        <v>40</v>
      </c>
      <c r="E9" s="5" t="s">
        <v>41</v>
      </c>
      <c r="F9" s="7" t="s">
        <v>42</v>
      </c>
      <c r="G9" s="5" t="s">
        <v>43</v>
      </c>
      <c r="H9" s="5">
        <v>11</v>
      </c>
      <c r="I9" s="5" t="s">
        <v>44</v>
      </c>
      <c r="J9" s="5" t="s">
        <v>45</v>
      </c>
      <c r="K9" s="13" t="s">
        <v>46</v>
      </c>
      <c r="L9" s="7" t="s">
        <v>47</v>
      </c>
    </row>
    <row r="10" spans="1:12" ht="18" customHeight="1" x14ac:dyDescent="0.35">
      <c r="A10" s="9" t="s">
        <v>48</v>
      </c>
      <c r="B10" s="10" t="s">
        <v>49</v>
      </c>
      <c r="C10" s="9" t="s">
        <v>50</v>
      </c>
      <c r="D10" s="9" t="s">
        <v>40</v>
      </c>
      <c r="E10" s="9" t="s">
        <v>51</v>
      </c>
      <c r="F10" s="11" t="s">
        <v>52</v>
      </c>
      <c r="G10" s="9" t="s">
        <v>53</v>
      </c>
      <c r="H10" s="9">
        <v>2</v>
      </c>
      <c r="I10" s="9" t="s">
        <v>54</v>
      </c>
      <c r="J10" s="9" t="s">
        <v>55</v>
      </c>
      <c r="K10" s="8" t="s">
        <v>26</v>
      </c>
      <c r="L10" s="11" t="s">
        <v>27</v>
      </c>
    </row>
    <row r="11" spans="1:12" ht="18" customHeight="1" x14ac:dyDescent="0.35">
      <c r="A11" s="5" t="s">
        <v>56</v>
      </c>
      <c r="B11" s="6" t="s">
        <v>57</v>
      </c>
      <c r="C11" s="5" t="s">
        <v>58</v>
      </c>
      <c r="D11" s="5" t="s">
        <v>40</v>
      </c>
      <c r="E11" s="5" t="s">
        <v>59</v>
      </c>
      <c r="F11" s="7" t="s">
        <v>60</v>
      </c>
      <c r="G11" s="5" t="s">
        <v>43</v>
      </c>
      <c r="H11" s="5">
        <v>6</v>
      </c>
      <c r="I11" s="5" t="s">
        <v>61</v>
      </c>
      <c r="J11" s="5" t="s">
        <v>62</v>
      </c>
      <c r="K11" s="14" t="s">
        <v>63</v>
      </c>
      <c r="L11" s="7" t="s">
        <v>64</v>
      </c>
    </row>
    <row r="12" spans="1:12" ht="18" customHeight="1" x14ac:dyDescent="0.35">
      <c r="A12" s="9" t="s">
        <v>65</v>
      </c>
      <c r="B12" s="10" t="s">
        <v>66</v>
      </c>
      <c r="C12" s="9" t="s">
        <v>67</v>
      </c>
      <c r="D12" s="9" t="s">
        <v>40</v>
      </c>
      <c r="E12" s="9" t="s">
        <v>68</v>
      </c>
      <c r="F12" s="11" t="s">
        <v>69</v>
      </c>
      <c r="G12" s="9" t="s">
        <v>70</v>
      </c>
      <c r="H12" s="9">
        <v>10</v>
      </c>
      <c r="I12" s="9" t="s">
        <v>71</v>
      </c>
      <c r="J12" s="9" t="s">
        <v>72</v>
      </c>
      <c r="K12" s="15" t="s">
        <v>73</v>
      </c>
      <c r="L12" s="11" t="s">
        <v>74</v>
      </c>
    </row>
    <row r="13" spans="1:12" ht="18" customHeight="1" x14ac:dyDescent="0.35">
      <c r="A13" s="5" t="s">
        <v>75</v>
      </c>
      <c r="B13" s="6" t="s">
        <v>76</v>
      </c>
      <c r="C13" s="5" t="s">
        <v>77</v>
      </c>
      <c r="D13" s="5" t="s">
        <v>40</v>
      </c>
      <c r="E13" s="5" t="s">
        <v>31</v>
      </c>
      <c r="F13" s="7" t="s">
        <v>32</v>
      </c>
      <c r="G13" s="5" t="s">
        <v>78</v>
      </c>
      <c r="H13" s="5">
        <v>14</v>
      </c>
      <c r="I13" s="5" t="s">
        <v>79</v>
      </c>
      <c r="J13" s="5" t="s">
        <v>80</v>
      </c>
      <c r="K13" s="8" t="s">
        <v>26</v>
      </c>
      <c r="L13" s="7" t="s">
        <v>81</v>
      </c>
    </row>
    <row r="14" spans="1:12" ht="18" customHeight="1" x14ac:dyDescent="0.35">
      <c r="A14" s="9" t="s">
        <v>82</v>
      </c>
      <c r="B14" s="10" t="s">
        <v>83</v>
      </c>
      <c r="C14" s="9" t="s">
        <v>84</v>
      </c>
      <c r="D14" s="9" t="s">
        <v>40</v>
      </c>
      <c r="E14" s="9" t="s">
        <v>85</v>
      </c>
      <c r="F14" s="11" t="s">
        <v>86</v>
      </c>
      <c r="G14" s="9" t="s">
        <v>87</v>
      </c>
      <c r="H14" s="9">
        <v>1</v>
      </c>
      <c r="I14" s="9" t="s">
        <v>88</v>
      </c>
      <c r="J14" s="9" t="s">
        <v>89</v>
      </c>
      <c r="K14" s="12" t="s">
        <v>35</v>
      </c>
      <c r="L14" s="11" t="s">
        <v>90</v>
      </c>
    </row>
    <row r="15" spans="1:12" ht="18" customHeight="1" x14ac:dyDescent="0.35">
      <c r="A15" s="5" t="s">
        <v>91</v>
      </c>
      <c r="B15" s="6" t="s">
        <v>92</v>
      </c>
      <c r="C15" s="5" t="s">
        <v>93</v>
      </c>
      <c r="D15" s="5" t="s">
        <v>40</v>
      </c>
      <c r="E15" s="5" t="s">
        <v>68</v>
      </c>
      <c r="F15" s="7" t="s">
        <v>94</v>
      </c>
      <c r="G15" s="5" t="s">
        <v>70</v>
      </c>
      <c r="H15" s="5">
        <v>3</v>
      </c>
      <c r="I15" s="5" t="s">
        <v>95</v>
      </c>
      <c r="J15" s="5" t="s">
        <v>96</v>
      </c>
      <c r="K15" s="14" t="s">
        <v>63</v>
      </c>
      <c r="L15" s="7" t="s">
        <v>97</v>
      </c>
    </row>
    <row r="16" spans="1:12" ht="18" customHeight="1" x14ac:dyDescent="0.35">
      <c r="A16" s="9" t="s">
        <v>98</v>
      </c>
      <c r="B16" s="10" t="s">
        <v>99</v>
      </c>
      <c r="C16" s="9" t="s">
        <v>100</v>
      </c>
      <c r="D16" s="9" t="s">
        <v>40</v>
      </c>
      <c r="E16" s="9" t="s">
        <v>68</v>
      </c>
      <c r="F16" s="11" t="s">
        <v>69</v>
      </c>
      <c r="G16" s="9" t="s">
        <v>101</v>
      </c>
      <c r="H16" s="9">
        <v>3</v>
      </c>
      <c r="I16" s="9" t="s">
        <v>102</v>
      </c>
      <c r="J16" s="9" t="s">
        <v>103</v>
      </c>
      <c r="K16" s="8" t="s">
        <v>26</v>
      </c>
      <c r="L16" s="11" t="s">
        <v>104</v>
      </c>
    </row>
    <row r="17" spans="1:12" ht="18" customHeight="1" x14ac:dyDescent="0.35">
      <c r="A17" s="5" t="s">
        <v>105</v>
      </c>
      <c r="B17" s="6" t="s">
        <v>106</v>
      </c>
      <c r="C17" s="5" t="s">
        <v>107</v>
      </c>
      <c r="D17" s="5" t="s">
        <v>40</v>
      </c>
      <c r="E17" s="5" t="s">
        <v>51</v>
      </c>
      <c r="F17" s="7" t="s">
        <v>108</v>
      </c>
      <c r="G17" s="5" t="s">
        <v>109</v>
      </c>
      <c r="H17" s="5">
        <v>3</v>
      </c>
      <c r="I17" s="5" t="s">
        <v>102</v>
      </c>
      <c r="J17" s="5" t="s">
        <v>110</v>
      </c>
      <c r="K17" s="14" t="s">
        <v>63</v>
      </c>
      <c r="L17" s="7" t="s">
        <v>64</v>
      </c>
    </row>
    <row r="18" spans="1:12" ht="18" customHeight="1" x14ac:dyDescent="0.35">
      <c r="A18" s="9" t="s">
        <v>111</v>
      </c>
      <c r="B18" s="10" t="s">
        <v>112</v>
      </c>
      <c r="C18" s="9" t="s">
        <v>113</v>
      </c>
      <c r="D18" s="9" t="s">
        <v>40</v>
      </c>
      <c r="E18" s="9" t="s">
        <v>68</v>
      </c>
      <c r="F18" s="11" t="s">
        <v>69</v>
      </c>
      <c r="G18" s="9" t="s">
        <v>114</v>
      </c>
      <c r="H18" s="9">
        <v>15</v>
      </c>
      <c r="I18" s="9" t="s">
        <v>79</v>
      </c>
      <c r="J18" s="9" t="s">
        <v>115</v>
      </c>
      <c r="K18" s="12" t="s">
        <v>35</v>
      </c>
      <c r="L18" s="11" t="s">
        <v>116</v>
      </c>
    </row>
    <row r="19" spans="1:12" ht="18" customHeight="1" x14ac:dyDescent="0.35">
      <c r="A19" s="5" t="s">
        <v>117</v>
      </c>
      <c r="B19" s="6" t="s">
        <v>118</v>
      </c>
      <c r="C19" s="5" t="s">
        <v>119</v>
      </c>
      <c r="D19" s="5" t="s">
        <v>40</v>
      </c>
      <c r="E19" s="5" t="s">
        <v>85</v>
      </c>
      <c r="F19" s="7" t="s">
        <v>120</v>
      </c>
      <c r="G19" s="5" t="s">
        <v>121</v>
      </c>
      <c r="H19" s="5">
        <v>7</v>
      </c>
      <c r="I19" s="5" t="s">
        <v>122</v>
      </c>
      <c r="J19" s="5" t="s">
        <v>123</v>
      </c>
      <c r="K19" s="8" t="s">
        <v>26</v>
      </c>
      <c r="L19" s="7" t="s">
        <v>104</v>
      </c>
    </row>
    <row r="20" spans="1:12" ht="18" customHeight="1" x14ac:dyDescent="0.35">
      <c r="A20" s="9" t="s">
        <v>124</v>
      </c>
      <c r="B20" s="10" t="s">
        <v>125</v>
      </c>
      <c r="C20" s="9" t="s">
        <v>126</v>
      </c>
      <c r="D20" s="9" t="s">
        <v>40</v>
      </c>
      <c r="E20" s="9" t="s">
        <v>127</v>
      </c>
      <c r="F20" s="11" t="s">
        <v>128</v>
      </c>
      <c r="G20" s="9" t="s">
        <v>121</v>
      </c>
      <c r="H20" s="9">
        <v>16</v>
      </c>
      <c r="I20" s="9" t="s">
        <v>79</v>
      </c>
      <c r="J20" s="9" t="s">
        <v>129</v>
      </c>
      <c r="K20" s="8" t="s">
        <v>26</v>
      </c>
      <c r="L20" s="11" t="s">
        <v>104</v>
      </c>
    </row>
    <row r="21" spans="1:12" ht="18" customHeight="1" x14ac:dyDescent="0.35">
      <c r="A21" s="5" t="s">
        <v>130</v>
      </c>
      <c r="B21" s="6" t="s">
        <v>131</v>
      </c>
      <c r="C21" s="5" t="s">
        <v>132</v>
      </c>
      <c r="D21" s="5" t="s">
        <v>20</v>
      </c>
      <c r="E21" s="5" t="s">
        <v>41</v>
      </c>
      <c r="F21" s="7" t="s">
        <v>133</v>
      </c>
      <c r="G21" s="5" t="s">
        <v>121</v>
      </c>
      <c r="H21" s="5">
        <v>3</v>
      </c>
      <c r="I21" s="5" t="s">
        <v>134</v>
      </c>
      <c r="J21" s="5" t="s">
        <v>135</v>
      </c>
      <c r="K21" s="13" t="s">
        <v>46</v>
      </c>
      <c r="L21" s="7" t="s">
        <v>47</v>
      </c>
    </row>
    <row r="22" spans="1:12" ht="18" customHeight="1" x14ac:dyDescent="0.35">
      <c r="A22" s="9" t="s">
        <v>136</v>
      </c>
      <c r="B22" s="10" t="s">
        <v>137</v>
      </c>
      <c r="C22" s="9" t="s">
        <v>138</v>
      </c>
      <c r="D22" s="9" t="s">
        <v>40</v>
      </c>
      <c r="E22" s="9" t="s">
        <v>31</v>
      </c>
      <c r="F22" s="11" t="s">
        <v>139</v>
      </c>
      <c r="G22" s="9" t="s">
        <v>140</v>
      </c>
      <c r="H22" s="9">
        <v>17</v>
      </c>
      <c r="I22" s="9" t="s">
        <v>141</v>
      </c>
      <c r="J22" s="9" t="s">
        <v>142</v>
      </c>
      <c r="K22" s="8" t="s">
        <v>26</v>
      </c>
      <c r="L22" s="11" t="s">
        <v>81</v>
      </c>
    </row>
    <row r="23" spans="1:12" ht="18" customHeight="1" x14ac:dyDescent="0.35">
      <c r="A23" s="5" t="s">
        <v>143</v>
      </c>
      <c r="B23" s="6" t="s">
        <v>144</v>
      </c>
      <c r="C23" s="5" t="s">
        <v>145</v>
      </c>
      <c r="D23" s="5" t="s">
        <v>40</v>
      </c>
      <c r="E23" s="5" t="s">
        <v>68</v>
      </c>
      <c r="F23" s="7" t="s">
        <v>94</v>
      </c>
      <c r="G23" s="5" t="s">
        <v>121</v>
      </c>
      <c r="H23" s="5">
        <v>7</v>
      </c>
      <c r="I23" s="5" t="s">
        <v>146</v>
      </c>
      <c r="J23" s="5" t="s">
        <v>147</v>
      </c>
      <c r="K23" s="8" t="s">
        <v>26</v>
      </c>
      <c r="L23" s="7" t="s">
        <v>81</v>
      </c>
    </row>
    <row r="24" spans="1:12" ht="18" customHeight="1" x14ac:dyDescent="0.35">
      <c r="A24" s="9" t="s">
        <v>148</v>
      </c>
      <c r="B24" s="10" t="s">
        <v>149</v>
      </c>
      <c r="C24" s="9" t="s">
        <v>150</v>
      </c>
      <c r="D24" s="9" t="s">
        <v>40</v>
      </c>
      <c r="E24" s="9" t="s">
        <v>85</v>
      </c>
      <c r="F24" s="11" t="s">
        <v>151</v>
      </c>
      <c r="G24" s="9" t="s">
        <v>78</v>
      </c>
      <c r="H24" s="9">
        <v>17</v>
      </c>
      <c r="I24" s="9" t="s">
        <v>141</v>
      </c>
      <c r="J24" s="9" t="s">
        <v>152</v>
      </c>
      <c r="K24" s="8" t="s">
        <v>26</v>
      </c>
      <c r="L24" s="11" t="s">
        <v>27</v>
      </c>
    </row>
    <row r="25" spans="1:12" ht="18" customHeight="1" x14ac:dyDescent="0.35">
      <c r="A25" s="5" t="s">
        <v>153</v>
      </c>
      <c r="B25" s="6" t="s">
        <v>154</v>
      </c>
      <c r="C25" s="5" t="s">
        <v>155</v>
      </c>
      <c r="D25" s="5" t="s">
        <v>40</v>
      </c>
      <c r="E25" s="5" t="s">
        <v>127</v>
      </c>
      <c r="F25" s="7" t="s">
        <v>156</v>
      </c>
      <c r="G25" s="5" t="s">
        <v>101</v>
      </c>
      <c r="H25" s="5">
        <v>16</v>
      </c>
      <c r="I25" s="5" t="s">
        <v>157</v>
      </c>
      <c r="J25" s="5" t="s">
        <v>158</v>
      </c>
      <c r="K25" s="14" t="s">
        <v>63</v>
      </c>
      <c r="L25" s="7" t="s">
        <v>159</v>
      </c>
    </row>
    <row r="26" spans="1:12" ht="18" customHeight="1" x14ac:dyDescent="0.35">
      <c r="A26" s="9" t="s">
        <v>160</v>
      </c>
      <c r="B26" s="10" t="s">
        <v>161</v>
      </c>
      <c r="C26" s="9" t="s">
        <v>162</v>
      </c>
      <c r="D26" s="9" t="s">
        <v>40</v>
      </c>
      <c r="E26" s="9" t="s">
        <v>31</v>
      </c>
      <c r="F26" s="11" t="s">
        <v>163</v>
      </c>
      <c r="G26" s="9" t="s">
        <v>23</v>
      </c>
      <c r="H26" s="9">
        <v>2</v>
      </c>
      <c r="I26" s="9" t="s">
        <v>164</v>
      </c>
      <c r="J26" s="9" t="s">
        <v>165</v>
      </c>
      <c r="K26" s="15" t="s">
        <v>73</v>
      </c>
      <c r="L26" s="11" t="s">
        <v>166</v>
      </c>
    </row>
    <row r="27" spans="1:12" ht="18" customHeight="1" x14ac:dyDescent="0.35">
      <c r="A27" s="5" t="s">
        <v>167</v>
      </c>
      <c r="B27" s="6" t="s">
        <v>168</v>
      </c>
      <c r="C27" s="5" t="s">
        <v>169</v>
      </c>
      <c r="D27" s="5" t="s">
        <v>20</v>
      </c>
      <c r="E27" s="5" t="s">
        <v>170</v>
      </c>
      <c r="F27" s="7" t="s">
        <v>171</v>
      </c>
      <c r="G27" s="5" t="s">
        <v>43</v>
      </c>
      <c r="H27" s="5">
        <v>2</v>
      </c>
      <c r="I27" s="5" t="s">
        <v>172</v>
      </c>
      <c r="J27" s="5" t="s">
        <v>165</v>
      </c>
      <c r="K27" s="14" t="s">
        <v>63</v>
      </c>
      <c r="L27" s="7" t="s">
        <v>159</v>
      </c>
    </row>
    <row r="28" spans="1:12" ht="18" customHeight="1" x14ac:dyDescent="0.35">
      <c r="A28" s="9" t="s">
        <v>173</v>
      </c>
      <c r="B28" s="10" t="s">
        <v>118</v>
      </c>
      <c r="C28" s="9" t="s">
        <v>174</v>
      </c>
      <c r="D28" s="9" t="s">
        <v>40</v>
      </c>
      <c r="E28" s="9" t="s">
        <v>21</v>
      </c>
      <c r="F28" s="11" t="s">
        <v>175</v>
      </c>
      <c r="G28" s="9" t="s">
        <v>43</v>
      </c>
      <c r="H28" s="9">
        <v>9</v>
      </c>
      <c r="I28" s="9" t="s">
        <v>176</v>
      </c>
      <c r="J28" s="9" t="s">
        <v>177</v>
      </c>
      <c r="K28" s="8" t="s">
        <v>26</v>
      </c>
      <c r="L28" s="11" t="s">
        <v>27</v>
      </c>
    </row>
    <row r="29" spans="1:12" ht="18" customHeight="1" x14ac:dyDescent="0.35">
      <c r="A29" s="5" t="s">
        <v>178</v>
      </c>
      <c r="B29" s="6" t="s">
        <v>179</v>
      </c>
      <c r="C29" s="5" t="s">
        <v>180</v>
      </c>
      <c r="D29" s="5" t="s">
        <v>40</v>
      </c>
      <c r="E29" s="5" t="s">
        <v>21</v>
      </c>
      <c r="F29" s="7" t="s">
        <v>175</v>
      </c>
      <c r="G29" s="5" t="s">
        <v>181</v>
      </c>
      <c r="H29" s="5">
        <v>9</v>
      </c>
      <c r="I29" s="5" t="s">
        <v>182</v>
      </c>
      <c r="J29" s="5" t="s">
        <v>183</v>
      </c>
      <c r="K29" s="8" t="s">
        <v>26</v>
      </c>
      <c r="L29" s="7" t="s">
        <v>81</v>
      </c>
    </row>
    <row r="30" spans="1:12" ht="18" customHeight="1" x14ac:dyDescent="0.35">
      <c r="A30" s="9" t="s">
        <v>184</v>
      </c>
      <c r="B30" s="10" t="s">
        <v>185</v>
      </c>
      <c r="C30" s="9" t="s">
        <v>186</v>
      </c>
      <c r="D30" s="9" t="s">
        <v>40</v>
      </c>
      <c r="E30" s="9" t="s">
        <v>127</v>
      </c>
      <c r="F30" s="11" t="s">
        <v>187</v>
      </c>
      <c r="G30" s="9" t="s">
        <v>43</v>
      </c>
      <c r="H30" s="9">
        <v>4</v>
      </c>
      <c r="I30" s="9" t="s">
        <v>188</v>
      </c>
      <c r="J30" s="9" t="s">
        <v>189</v>
      </c>
      <c r="K30" s="12" t="s">
        <v>35</v>
      </c>
      <c r="L30" s="11" t="s">
        <v>90</v>
      </c>
    </row>
    <row r="31" spans="1:12" ht="18" customHeight="1" x14ac:dyDescent="0.35">
      <c r="A31" s="5" t="s">
        <v>190</v>
      </c>
      <c r="B31" s="6" t="s">
        <v>191</v>
      </c>
      <c r="C31" s="5" t="s">
        <v>192</v>
      </c>
      <c r="D31" s="5" t="s">
        <v>40</v>
      </c>
      <c r="E31" s="5" t="s">
        <v>193</v>
      </c>
      <c r="F31" s="7" t="s">
        <v>194</v>
      </c>
      <c r="G31" s="5" t="s">
        <v>78</v>
      </c>
      <c r="H31" s="5">
        <v>4</v>
      </c>
      <c r="I31" s="5" t="s">
        <v>195</v>
      </c>
      <c r="J31" s="5" t="s">
        <v>196</v>
      </c>
      <c r="K31" s="14" t="s">
        <v>63</v>
      </c>
      <c r="L31" s="7" t="s">
        <v>97</v>
      </c>
    </row>
    <row r="32" spans="1:12" ht="18" customHeight="1" x14ac:dyDescent="0.35">
      <c r="A32" s="9" t="s">
        <v>197</v>
      </c>
      <c r="B32" s="10" t="s">
        <v>198</v>
      </c>
      <c r="C32" s="9" t="s">
        <v>199</v>
      </c>
      <c r="D32" s="9" t="s">
        <v>40</v>
      </c>
      <c r="E32" s="9" t="s">
        <v>41</v>
      </c>
      <c r="F32" s="11" t="s">
        <v>133</v>
      </c>
      <c r="G32" s="9" t="s">
        <v>140</v>
      </c>
      <c r="H32" s="9">
        <v>5</v>
      </c>
      <c r="I32" s="9" t="s">
        <v>146</v>
      </c>
      <c r="J32" s="9" t="s">
        <v>200</v>
      </c>
      <c r="K32" s="15" t="s">
        <v>73</v>
      </c>
      <c r="L32" s="11" t="s">
        <v>74</v>
      </c>
    </row>
    <row r="33" spans="1:12" ht="18" customHeight="1" x14ac:dyDescent="0.35">
      <c r="A33" s="5" t="s">
        <v>201</v>
      </c>
      <c r="B33" s="6" t="s">
        <v>202</v>
      </c>
      <c r="C33" s="5" t="s">
        <v>203</v>
      </c>
      <c r="D33" s="5" t="s">
        <v>20</v>
      </c>
      <c r="E33" s="5" t="s">
        <v>127</v>
      </c>
      <c r="F33" s="7" t="s">
        <v>156</v>
      </c>
      <c r="G33" s="5" t="s">
        <v>140</v>
      </c>
      <c r="H33" s="5">
        <v>6</v>
      </c>
      <c r="I33" s="5" t="s">
        <v>134</v>
      </c>
      <c r="J33" s="5" t="s">
        <v>204</v>
      </c>
      <c r="K33" s="8" t="s">
        <v>26</v>
      </c>
      <c r="L33" s="7" t="s">
        <v>104</v>
      </c>
    </row>
    <row r="34" spans="1:12" ht="18" customHeight="1" x14ac:dyDescent="0.35">
      <c r="A34" s="9" t="s">
        <v>205</v>
      </c>
      <c r="B34" s="10" t="s">
        <v>206</v>
      </c>
      <c r="C34" s="9" t="s">
        <v>207</v>
      </c>
      <c r="D34" s="9" t="s">
        <v>40</v>
      </c>
      <c r="E34" s="9" t="s">
        <v>170</v>
      </c>
      <c r="F34" s="11" t="s">
        <v>208</v>
      </c>
      <c r="G34" s="9" t="s">
        <v>70</v>
      </c>
      <c r="H34" s="9">
        <v>16</v>
      </c>
      <c r="I34" s="9" t="s">
        <v>164</v>
      </c>
      <c r="J34" s="9" t="s">
        <v>96</v>
      </c>
      <c r="K34" s="14" t="s">
        <v>63</v>
      </c>
      <c r="L34" s="11" t="s">
        <v>159</v>
      </c>
    </row>
    <row r="35" spans="1:12" ht="18" customHeight="1" x14ac:dyDescent="0.35">
      <c r="A35" s="5" t="s">
        <v>209</v>
      </c>
      <c r="B35" s="6" t="s">
        <v>210</v>
      </c>
      <c r="C35" s="5" t="s">
        <v>211</v>
      </c>
      <c r="D35" s="5" t="s">
        <v>40</v>
      </c>
      <c r="E35" s="5" t="s">
        <v>193</v>
      </c>
      <c r="F35" s="7" t="s">
        <v>212</v>
      </c>
      <c r="G35" s="5" t="s">
        <v>43</v>
      </c>
      <c r="H35" s="5">
        <v>10</v>
      </c>
      <c r="I35" s="5" t="s">
        <v>213</v>
      </c>
      <c r="J35" s="5" t="s">
        <v>214</v>
      </c>
      <c r="K35" s="12" t="s">
        <v>35</v>
      </c>
      <c r="L35" s="7" t="s">
        <v>116</v>
      </c>
    </row>
    <row r="36" spans="1:12" ht="18" customHeight="1" x14ac:dyDescent="0.35">
      <c r="A36" s="9" t="s">
        <v>215</v>
      </c>
      <c r="B36" s="10" t="s">
        <v>185</v>
      </c>
      <c r="C36" s="9" t="s">
        <v>216</v>
      </c>
      <c r="D36" s="9" t="s">
        <v>40</v>
      </c>
      <c r="E36" s="9" t="s">
        <v>31</v>
      </c>
      <c r="F36" s="11" t="s">
        <v>217</v>
      </c>
      <c r="G36" s="9" t="s">
        <v>78</v>
      </c>
      <c r="H36" s="9">
        <v>2</v>
      </c>
      <c r="I36" s="9" t="s">
        <v>218</v>
      </c>
      <c r="J36" s="9" t="s">
        <v>219</v>
      </c>
      <c r="K36" s="14" t="s">
        <v>63</v>
      </c>
      <c r="L36" s="11" t="s">
        <v>97</v>
      </c>
    </row>
    <row r="37" spans="1:12" ht="18" customHeight="1" x14ac:dyDescent="0.35">
      <c r="A37" s="5" t="s">
        <v>220</v>
      </c>
      <c r="B37" s="6" t="s">
        <v>221</v>
      </c>
      <c r="C37" s="5" t="s">
        <v>222</v>
      </c>
      <c r="D37" s="5" t="s">
        <v>40</v>
      </c>
      <c r="E37" s="5" t="s">
        <v>68</v>
      </c>
      <c r="F37" s="7" t="s">
        <v>69</v>
      </c>
      <c r="G37" s="5" t="s">
        <v>140</v>
      </c>
      <c r="H37" s="5">
        <v>13</v>
      </c>
      <c r="I37" s="5" t="s">
        <v>164</v>
      </c>
      <c r="J37" s="5" t="s">
        <v>89</v>
      </c>
      <c r="K37" s="8" t="s">
        <v>26</v>
      </c>
      <c r="L37" s="7" t="s">
        <v>81</v>
      </c>
    </row>
    <row r="38" spans="1:12" ht="18" customHeight="1" x14ac:dyDescent="0.35">
      <c r="A38" s="9" t="s">
        <v>223</v>
      </c>
      <c r="B38" s="10" t="s">
        <v>224</v>
      </c>
      <c r="C38" s="9" t="s">
        <v>225</v>
      </c>
      <c r="D38" s="9" t="s">
        <v>20</v>
      </c>
      <c r="E38" s="9" t="s">
        <v>193</v>
      </c>
      <c r="F38" s="11" t="s">
        <v>226</v>
      </c>
      <c r="G38" s="9" t="s">
        <v>227</v>
      </c>
      <c r="H38" s="9">
        <v>14</v>
      </c>
      <c r="I38" s="9" t="s">
        <v>164</v>
      </c>
      <c r="J38" s="9" t="s">
        <v>228</v>
      </c>
      <c r="K38" s="13" t="s">
        <v>46</v>
      </c>
      <c r="L38" s="11" t="s">
        <v>229</v>
      </c>
    </row>
    <row r="39" spans="1:12" ht="18" customHeight="1" x14ac:dyDescent="0.35">
      <c r="A39" s="5" t="s">
        <v>230</v>
      </c>
      <c r="B39" s="6" t="s">
        <v>231</v>
      </c>
      <c r="C39" s="5" t="s">
        <v>232</v>
      </c>
      <c r="D39" s="5" t="s">
        <v>40</v>
      </c>
      <c r="E39" s="5" t="s">
        <v>51</v>
      </c>
      <c r="F39" s="7" t="s">
        <v>233</v>
      </c>
      <c r="G39" s="5" t="s">
        <v>234</v>
      </c>
      <c r="H39" s="5">
        <v>7</v>
      </c>
      <c r="I39" s="5" t="s">
        <v>235</v>
      </c>
      <c r="J39" s="5" t="s">
        <v>141</v>
      </c>
      <c r="K39" s="14" t="s">
        <v>63</v>
      </c>
      <c r="L39" s="7" t="s">
        <v>159</v>
      </c>
    </row>
    <row r="40" spans="1:12" ht="18" customHeight="1" x14ac:dyDescent="0.35">
      <c r="A40" s="9" t="s">
        <v>236</v>
      </c>
      <c r="B40" s="10" t="s">
        <v>237</v>
      </c>
      <c r="C40" s="9" t="s">
        <v>238</v>
      </c>
      <c r="D40" s="9" t="s">
        <v>20</v>
      </c>
      <c r="E40" s="9" t="s">
        <v>193</v>
      </c>
      <c r="F40" s="11" t="s">
        <v>194</v>
      </c>
      <c r="G40" s="9" t="s">
        <v>53</v>
      </c>
      <c r="H40" s="9">
        <v>12</v>
      </c>
      <c r="I40" s="9" t="s">
        <v>239</v>
      </c>
      <c r="J40" s="9" t="s">
        <v>141</v>
      </c>
      <c r="K40" s="14" t="s">
        <v>63</v>
      </c>
      <c r="L40" s="11" t="s">
        <v>159</v>
      </c>
    </row>
    <row r="41" spans="1:12" ht="18" customHeight="1" x14ac:dyDescent="0.35">
      <c r="A41" s="5" t="s">
        <v>240</v>
      </c>
      <c r="B41" s="6" t="s">
        <v>241</v>
      </c>
      <c r="C41" s="5" t="s">
        <v>242</v>
      </c>
      <c r="D41" s="5" t="s">
        <v>20</v>
      </c>
      <c r="E41" s="5" t="s">
        <v>127</v>
      </c>
      <c r="F41" s="7" t="s">
        <v>243</v>
      </c>
      <c r="G41" s="5" t="s">
        <v>234</v>
      </c>
      <c r="H41" s="5">
        <v>3</v>
      </c>
      <c r="I41" s="5" t="s">
        <v>141</v>
      </c>
      <c r="J41" s="5" t="s">
        <v>219</v>
      </c>
      <c r="K41" s="15" t="s">
        <v>73</v>
      </c>
      <c r="L41" s="7" t="s">
        <v>74</v>
      </c>
    </row>
    <row r="42" spans="1:12" ht="18" customHeight="1" x14ac:dyDescent="0.35">
      <c r="A42" s="9" t="s">
        <v>244</v>
      </c>
      <c r="B42" s="10" t="s">
        <v>245</v>
      </c>
      <c r="C42" s="9" t="s">
        <v>246</v>
      </c>
      <c r="D42" s="9" t="s">
        <v>20</v>
      </c>
      <c r="E42" s="9" t="s">
        <v>85</v>
      </c>
      <c r="F42" s="11" t="s">
        <v>120</v>
      </c>
      <c r="G42" s="9" t="s">
        <v>181</v>
      </c>
      <c r="H42" s="9">
        <v>7</v>
      </c>
      <c r="I42" s="9" t="s">
        <v>95</v>
      </c>
      <c r="J42" s="9" t="s">
        <v>129</v>
      </c>
      <c r="K42" s="8" t="s">
        <v>26</v>
      </c>
      <c r="L42" s="11" t="s">
        <v>247</v>
      </c>
    </row>
    <row r="43" spans="1:12" ht="18" customHeight="1" x14ac:dyDescent="0.35">
      <c r="A43" s="5" t="s">
        <v>248</v>
      </c>
      <c r="B43" s="6" t="s">
        <v>249</v>
      </c>
      <c r="C43" s="5" t="s">
        <v>250</v>
      </c>
      <c r="D43" s="5" t="s">
        <v>40</v>
      </c>
      <c r="E43" s="5" t="s">
        <v>51</v>
      </c>
      <c r="F43" s="7" t="s">
        <v>233</v>
      </c>
      <c r="G43" s="5" t="s">
        <v>114</v>
      </c>
      <c r="H43" s="5">
        <v>4</v>
      </c>
      <c r="I43" s="5" t="s">
        <v>251</v>
      </c>
      <c r="J43" s="5" t="s">
        <v>252</v>
      </c>
      <c r="K43" s="8" t="s">
        <v>26</v>
      </c>
      <c r="L43" s="7" t="s">
        <v>27</v>
      </c>
    </row>
    <row r="44" spans="1:12" ht="18" customHeight="1" x14ac:dyDescent="0.35">
      <c r="A44" s="9" t="s">
        <v>253</v>
      </c>
      <c r="B44" s="10" t="s">
        <v>254</v>
      </c>
      <c r="C44" s="9" t="s">
        <v>255</v>
      </c>
      <c r="D44" s="9" t="s">
        <v>20</v>
      </c>
      <c r="E44" s="9" t="s">
        <v>127</v>
      </c>
      <c r="F44" s="11" t="s">
        <v>243</v>
      </c>
      <c r="G44" s="9" t="s">
        <v>234</v>
      </c>
      <c r="H44" s="9">
        <v>13</v>
      </c>
      <c r="I44" s="9" t="s">
        <v>55</v>
      </c>
      <c r="J44" s="9" t="s">
        <v>177</v>
      </c>
      <c r="K44" s="14" t="s">
        <v>63</v>
      </c>
      <c r="L44" s="11" t="s">
        <v>256</v>
      </c>
    </row>
    <row r="45" spans="1:12" ht="18" customHeight="1" x14ac:dyDescent="0.35">
      <c r="A45" s="5" t="s">
        <v>257</v>
      </c>
      <c r="B45" s="6" t="s">
        <v>258</v>
      </c>
      <c r="C45" s="5" t="s">
        <v>259</v>
      </c>
      <c r="D45" s="5" t="s">
        <v>20</v>
      </c>
      <c r="E45" s="5" t="s">
        <v>41</v>
      </c>
      <c r="F45" s="7" t="s">
        <v>133</v>
      </c>
      <c r="G45" s="5" t="s">
        <v>227</v>
      </c>
      <c r="H45" s="5">
        <v>7</v>
      </c>
      <c r="I45" s="5" t="s">
        <v>260</v>
      </c>
      <c r="J45" s="5" t="s">
        <v>123</v>
      </c>
      <c r="K45" s="12" t="s">
        <v>35</v>
      </c>
      <c r="L45" s="7" t="s">
        <v>36</v>
      </c>
    </row>
    <row r="46" spans="1:12" ht="18" customHeight="1" x14ac:dyDescent="0.35">
      <c r="A46" s="9" t="s">
        <v>261</v>
      </c>
      <c r="B46" s="10" t="s">
        <v>262</v>
      </c>
      <c r="C46" s="9" t="s">
        <v>263</v>
      </c>
      <c r="D46" s="9" t="s">
        <v>40</v>
      </c>
      <c r="E46" s="9" t="s">
        <v>127</v>
      </c>
      <c r="F46" s="11" t="s">
        <v>156</v>
      </c>
      <c r="G46" s="9" t="s">
        <v>23</v>
      </c>
      <c r="H46" s="9">
        <v>18</v>
      </c>
      <c r="I46" s="9" t="s">
        <v>264</v>
      </c>
      <c r="J46" s="9" t="s">
        <v>265</v>
      </c>
      <c r="K46" s="14" t="s">
        <v>63</v>
      </c>
      <c r="L46" s="11" t="s">
        <v>256</v>
      </c>
    </row>
    <row r="47" spans="1:12" ht="18" customHeight="1" x14ac:dyDescent="0.35">
      <c r="A47" s="5" t="s">
        <v>266</v>
      </c>
      <c r="B47" s="6" t="s">
        <v>267</v>
      </c>
      <c r="C47" s="5" t="s">
        <v>268</v>
      </c>
      <c r="D47" s="5" t="s">
        <v>20</v>
      </c>
      <c r="E47" s="5" t="s">
        <v>85</v>
      </c>
      <c r="F47" s="7" t="s">
        <v>151</v>
      </c>
      <c r="G47" s="5" t="s">
        <v>43</v>
      </c>
      <c r="H47" s="5">
        <v>12</v>
      </c>
      <c r="I47" s="5" t="s">
        <v>95</v>
      </c>
      <c r="J47" s="5" t="s">
        <v>269</v>
      </c>
      <c r="K47" s="14" t="s">
        <v>63</v>
      </c>
      <c r="L47" s="7" t="s">
        <v>256</v>
      </c>
    </row>
    <row r="48" spans="1:12" ht="18" customHeight="1" x14ac:dyDescent="0.35">
      <c r="A48" s="9" t="s">
        <v>270</v>
      </c>
      <c r="B48" s="10" t="s">
        <v>271</v>
      </c>
      <c r="C48" s="9" t="s">
        <v>272</v>
      </c>
      <c r="D48" s="9" t="s">
        <v>40</v>
      </c>
      <c r="E48" s="9" t="s">
        <v>127</v>
      </c>
      <c r="F48" s="11" t="s">
        <v>187</v>
      </c>
      <c r="G48" s="9" t="s">
        <v>140</v>
      </c>
      <c r="H48" s="9">
        <v>6</v>
      </c>
      <c r="I48" s="9" t="s">
        <v>273</v>
      </c>
      <c r="J48" s="9" t="s">
        <v>80</v>
      </c>
      <c r="K48" s="14" t="s">
        <v>63</v>
      </c>
      <c r="L48" s="11" t="s">
        <v>256</v>
      </c>
    </row>
    <row r="49" spans="1:12" ht="18" customHeight="1" x14ac:dyDescent="0.35">
      <c r="A49" s="5" t="s">
        <v>274</v>
      </c>
      <c r="B49" s="6" t="s">
        <v>275</v>
      </c>
      <c r="C49" s="5" t="s">
        <v>276</v>
      </c>
      <c r="D49" s="5" t="s">
        <v>40</v>
      </c>
      <c r="E49" s="5" t="s">
        <v>51</v>
      </c>
      <c r="F49" s="7" t="s">
        <v>52</v>
      </c>
      <c r="G49" s="5" t="s">
        <v>23</v>
      </c>
      <c r="H49" s="5">
        <v>3</v>
      </c>
      <c r="I49" s="5" t="s">
        <v>277</v>
      </c>
      <c r="J49" s="5" t="s">
        <v>278</v>
      </c>
      <c r="K49" s="14" t="s">
        <v>63</v>
      </c>
      <c r="L49" s="7" t="s">
        <v>97</v>
      </c>
    </row>
    <row r="50" spans="1:12" ht="18" customHeight="1" x14ac:dyDescent="0.35">
      <c r="A50" s="9" t="s">
        <v>279</v>
      </c>
      <c r="B50" s="10" t="s">
        <v>280</v>
      </c>
      <c r="C50" s="9" t="s">
        <v>281</v>
      </c>
      <c r="D50" s="9" t="s">
        <v>40</v>
      </c>
      <c r="E50" s="9" t="s">
        <v>193</v>
      </c>
      <c r="F50" s="11" t="s">
        <v>194</v>
      </c>
      <c r="G50" s="9" t="s">
        <v>121</v>
      </c>
      <c r="H50" s="9">
        <v>9</v>
      </c>
      <c r="I50" s="9" t="s">
        <v>282</v>
      </c>
      <c r="J50" s="9" t="s">
        <v>283</v>
      </c>
      <c r="K50" s="14" t="s">
        <v>63</v>
      </c>
      <c r="L50" s="11" t="s">
        <v>97</v>
      </c>
    </row>
    <row r="51" spans="1:12" ht="18" customHeight="1" x14ac:dyDescent="0.35">
      <c r="A51" s="5" t="s">
        <v>284</v>
      </c>
      <c r="B51" s="6" t="s">
        <v>285</v>
      </c>
      <c r="C51" s="5" t="s">
        <v>286</v>
      </c>
      <c r="D51" s="5" t="s">
        <v>40</v>
      </c>
      <c r="E51" s="5" t="s">
        <v>127</v>
      </c>
      <c r="F51" s="7" t="s">
        <v>156</v>
      </c>
      <c r="G51" s="5" t="s">
        <v>234</v>
      </c>
      <c r="H51" s="5">
        <v>15</v>
      </c>
      <c r="I51" s="5" t="s">
        <v>287</v>
      </c>
      <c r="J51" s="5" t="s">
        <v>288</v>
      </c>
      <c r="K51" s="13" t="s">
        <v>46</v>
      </c>
      <c r="L51" s="7" t="s">
        <v>229</v>
      </c>
    </row>
    <row r="52" spans="1:12" ht="18" customHeight="1" x14ac:dyDescent="0.35">
      <c r="A52" s="9" t="s">
        <v>289</v>
      </c>
      <c r="B52" s="10" t="s">
        <v>99</v>
      </c>
      <c r="C52" s="9" t="s">
        <v>290</v>
      </c>
      <c r="D52" s="9" t="s">
        <v>40</v>
      </c>
      <c r="E52" s="9" t="s">
        <v>68</v>
      </c>
      <c r="F52" s="11" t="s">
        <v>291</v>
      </c>
      <c r="G52" s="9" t="s">
        <v>227</v>
      </c>
      <c r="H52" s="9">
        <v>13</v>
      </c>
      <c r="I52" s="9" t="s">
        <v>292</v>
      </c>
      <c r="J52" s="9" t="s">
        <v>293</v>
      </c>
      <c r="K52" s="14" t="s">
        <v>63</v>
      </c>
      <c r="L52" s="11" t="s">
        <v>97</v>
      </c>
    </row>
    <row r="53" spans="1:12" ht="18" customHeight="1" x14ac:dyDescent="0.35">
      <c r="A53" s="5" t="s">
        <v>294</v>
      </c>
      <c r="B53" s="6" t="s">
        <v>295</v>
      </c>
      <c r="C53" s="5" t="s">
        <v>296</v>
      </c>
      <c r="D53" s="5" t="s">
        <v>20</v>
      </c>
      <c r="E53" s="5" t="s">
        <v>51</v>
      </c>
      <c r="F53" s="7" t="s">
        <v>233</v>
      </c>
      <c r="G53" s="5" t="s">
        <v>227</v>
      </c>
      <c r="H53" s="5">
        <v>10</v>
      </c>
      <c r="I53" s="5" t="s">
        <v>297</v>
      </c>
      <c r="J53" s="5" t="s">
        <v>134</v>
      </c>
      <c r="K53" s="8" t="s">
        <v>26</v>
      </c>
      <c r="L53" s="7" t="s">
        <v>247</v>
      </c>
    </row>
    <row r="54" spans="1:12" ht="18" customHeight="1" x14ac:dyDescent="0.35">
      <c r="A54" s="9" t="s">
        <v>298</v>
      </c>
      <c r="B54" s="10" t="s">
        <v>299</v>
      </c>
      <c r="C54" s="9" t="s">
        <v>300</v>
      </c>
      <c r="D54" s="9" t="s">
        <v>40</v>
      </c>
      <c r="E54" s="9" t="s">
        <v>31</v>
      </c>
      <c r="F54" s="11" t="s">
        <v>163</v>
      </c>
      <c r="G54" s="9" t="s">
        <v>140</v>
      </c>
      <c r="H54" s="9">
        <v>13</v>
      </c>
      <c r="I54" s="9" t="s">
        <v>301</v>
      </c>
      <c r="J54" s="9" t="s">
        <v>34</v>
      </c>
      <c r="K54" s="13" t="s">
        <v>46</v>
      </c>
      <c r="L54" s="11" t="s">
        <v>302</v>
      </c>
    </row>
    <row r="55" spans="1:12" ht="18" customHeight="1" x14ac:dyDescent="0.35">
      <c r="A55" s="5" t="s">
        <v>303</v>
      </c>
      <c r="B55" s="6" t="s">
        <v>304</v>
      </c>
      <c r="C55" s="5" t="s">
        <v>305</v>
      </c>
      <c r="D55" s="5" t="s">
        <v>20</v>
      </c>
      <c r="E55" s="5" t="s">
        <v>31</v>
      </c>
      <c r="F55" s="7" t="s">
        <v>217</v>
      </c>
      <c r="G55" s="5" t="s">
        <v>70</v>
      </c>
      <c r="H55" s="5">
        <v>18</v>
      </c>
      <c r="I55" s="5" t="s">
        <v>306</v>
      </c>
      <c r="J55" s="5" t="s">
        <v>103</v>
      </c>
      <c r="K55" s="15" t="s">
        <v>73</v>
      </c>
      <c r="L55" s="7" t="s">
        <v>74</v>
      </c>
    </row>
    <row r="56" spans="1:12" ht="18" customHeight="1" x14ac:dyDescent="0.35">
      <c r="A56" s="9" t="s">
        <v>307</v>
      </c>
      <c r="B56" s="10" t="s">
        <v>308</v>
      </c>
      <c r="C56" s="9" t="s">
        <v>309</v>
      </c>
      <c r="D56" s="9" t="s">
        <v>40</v>
      </c>
      <c r="E56" s="9" t="s">
        <v>170</v>
      </c>
      <c r="F56" s="11" t="s">
        <v>208</v>
      </c>
      <c r="G56" s="9" t="s">
        <v>140</v>
      </c>
      <c r="H56" s="9">
        <v>3</v>
      </c>
      <c r="I56" s="9" t="s">
        <v>310</v>
      </c>
      <c r="J56" s="9" t="s">
        <v>45</v>
      </c>
      <c r="K56" s="14" t="s">
        <v>63</v>
      </c>
      <c r="L56" s="11" t="s">
        <v>64</v>
      </c>
    </row>
  </sheetData>
  <autoFilter ref="A6:L56" xr:uid="{00000000-0009-0000-0000-000000000000}"/>
  <mergeCells count="5">
    <mergeCell ref="A2:L2"/>
    <mergeCell ref="I4:J4"/>
    <mergeCell ref="A1:L1"/>
    <mergeCell ref="E4:G4"/>
    <mergeCell ref="A4:C4"/>
  </mergeCells>
  <pageMargins left="0.25" right="0.25" top="0.75" bottom="0.75" header="0.3" footer="0.3"/>
  <pageSetup paperSize="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"/>
  <sheetViews>
    <sheetView workbookViewId="0"/>
  </sheetViews>
  <sheetFormatPr defaultRowHeight="14.5" x14ac:dyDescent="0.35"/>
  <cols>
    <col min="1" max="1" width="24" customWidth="1"/>
    <col min="2" max="4" width="16" customWidth="1"/>
  </cols>
  <sheetData>
    <row r="1" spans="1:4" ht="32" customHeight="1" x14ac:dyDescent="0.35">
      <c r="A1" s="26" t="s">
        <v>311</v>
      </c>
      <c r="B1" s="23"/>
      <c r="C1" s="23"/>
      <c r="D1" s="23"/>
    </row>
    <row r="3" spans="1:4" ht="24" customHeight="1" x14ac:dyDescent="0.35">
      <c r="A3" s="16" t="s">
        <v>9</v>
      </c>
      <c r="B3" s="16" t="s">
        <v>312</v>
      </c>
      <c r="C3" s="16" t="s">
        <v>63</v>
      </c>
      <c r="D3" s="16" t="s">
        <v>26</v>
      </c>
    </row>
    <row r="4" spans="1:4" ht="18" customHeight="1" x14ac:dyDescent="0.35">
      <c r="A4" s="17" t="s">
        <v>127</v>
      </c>
      <c r="B4" s="18">
        <f>COUNTIF('Staff Recruitment 2025'!E7:E56,A4)</f>
        <v>9</v>
      </c>
      <c r="C4" s="18">
        <f>COUNTIFS('Staff Recruitment 2025'!E7:E56,A4,'Staff Recruitment 2025'!K7:K56,"Shortlisted")</f>
        <v>4</v>
      </c>
      <c r="D4" s="18">
        <f>COUNTIFS('Staff Recruitment 2025'!E7:E56,A4,'Staff Recruitment 2025'!K7:K56,"Selected")</f>
        <v>2</v>
      </c>
    </row>
    <row r="5" spans="1:4" ht="18" customHeight="1" x14ac:dyDescent="0.35">
      <c r="A5" s="19" t="s">
        <v>21</v>
      </c>
      <c r="B5" s="20">
        <f>COUNTIF('Staff Recruitment 2025'!E7:E56,A5)</f>
        <v>3</v>
      </c>
      <c r="C5" s="20">
        <f>COUNTIFS('Staff Recruitment 2025'!E7:E56,A5,'Staff Recruitment 2025'!K7:K56,"Shortlisted")</f>
        <v>0</v>
      </c>
      <c r="D5" s="20">
        <f>COUNTIFS('Staff Recruitment 2025'!E7:E56,A5,'Staff Recruitment 2025'!K7:K56,"Selected")</f>
        <v>3</v>
      </c>
    </row>
    <row r="6" spans="1:4" ht="18" customHeight="1" x14ac:dyDescent="0.35">
      <c r="A6" s="17" t="s">
        <v>59</v>
      </c>
      <c r="B6" s="18">
        <f>COUNTIF('Staff Recruitment 2025'!E7:E56,A6)</f>
        <v>1</v>
      </c>
      <c r="C6" s="18">
        <f>COUNTIFS('Staff Recruitment 2025'!E7:E56,A6,'Staff Recruitment 2025'!K7:K56,"Shortlisted")</f>
        <v>1</v>
      </c>
      <c r="D6" s="18">
        <f>COUNTIFS('Staff Recruitment 2025'!E7:E56,A6,'Staff Recruitment 2025'!K7:K56,"Selected")</f>
        <v>0</v>
      </c>
    </row>
    <row r="7" spans="1:4" ht="18" customHeight="1" x14ac:dyDescent="0.35">
      <c r="A7" s="19" t="s">
        <v>31</v>
      </c>
      <c r="B7" s="20">
        <f>COUNTIF('Staff Recruitment 2025'!E7:E56,A7)</f>
        <v>7</v>
      </c>
      <c r="C7" s="20">
        <f>COUNTIFS('Staff Recruitment 2025'!E7:E56,A7,'Staff Recruitment 2025'!K7:K56,"Shortlisted")</f>
        <v>1</v>
      </c>
      <c r="D7" s="20">
        <f>COUNTIFS('Staff Recruitment 2025'!E7:E56,A7,'Staff Recruitment 2025'!K7:K56,"Selected")</f>
        <v>2</v>
      </c>
    </row>
    <row r="8" spans="1:4" ht="18" customHeight="1" x14ac:dyDescent="0.35">
      <c r="A8" s="17" t="s">
        <v>170</v>
      </c>
      <c r="B8" s="18">
        <f>COUNTIF('Staff Recruitment 2025'!E7:E56,A8)</f>
        <v>3</v>
      </c>
      <c r="C8" s="18">
        <f>COUNTIFS('Staff Recruitment 2025'!E7:E56,A8,'Staff Recruitment 2025'!K7:K56,"Shortlisted")</f>
        <v>3</v>
      </c>
      <c r="D8" s="18">
        <f>COUNTIFS('Staff Recruitment 2025'!E7:E56,A8,'Staff Recruitment 2025'!K7:K56,"Selected")</f>
        <v>0</v>
      </c>
    </row>
    <row r="9" spans="1:4" ht="18" customHeight="1" x14ac:dyDescent="0.35">
      <c r="A9" s="19" t="s">
        <v>51</v>
      </c>
      <c r="B9" s="20">
        <f>COUNTIF('Staff Recruitment 2025'!E7:E56,A9)</f>
        <v>6</v>
      </c>
      <c r="C9" s="20">
        <f>COUNTIFS('Staff Recruitment 2025'!E7:E56,A9,'Staff Recruitment 2025'!K7:K56,"Shortlisted")</f>
        <v>3</v>
      </c>
      <c r="D9" s="20">
        <f>COUNTIFS('Staff Recruitment 2025'!E7:E56,A9,'Staff Recruitment 2025'!K7:K56,"Selected")</f>
        <v>3</v>
      </c>
    </row>
    <row r="10" spans="1:4" ht="18" customHeight="1" x14ac:dyDescent="0.35">
      <c r="A10" s="17" t="s">
        <v>41</v>
      </c>
      <c r="B10" s="18">
        <f>COUNTIF('Staff Recruitment 2025'!E7:E56,A10)</f>
        <v>4</v>
      </c>
      <c r="C10" s="18">
        <f>COUNTIFS('Staff Recruitment 2025'!E7:E56,A10,'Staff Recruitment 2025'!K7:K56,"Shortlisted")</f>
        <v>0</v>
      </c>
      <c r="D10" s="18">
        <f>COUNTIFS('Staff Recruitment 2025'!E7:E56,A10,'Staff Recruitment 2025'!K7:K56,"Selected")</f>
        <v>0</v>
      </c>
    </row>
    <row r="11" spans="1:4" ht="18" customHeight="1" x14ac:dyDescent="0.35">
      <c r="A11" s="19" t="s">
        <v>85</v>
      </c>
      <c r="B11" s="20">
        <f>COUNTIF('Staff Recruitment 2025'!E7:E56,A11)</f>
        <v>5</v>
      </c>
      <c r="C11" s="20">
        <f>COUNTIFS('Staff Recruitment 2025'!E7:E56,A11,'Staff Recruitment 2025'!K7:K56,"Shortlisted")</f>
        <v>1</v>
      </c>
      <c r="D11" s="20">
        <f>COUNTIFS('Staff Recruitment 2025'!E7:E56,A11,'Staff Recruitment 2025'!K7:K56,"Selected")</f>
        <v>3</v>
      </c>
    </row>
    <row r="12" spans="1:4" ht="18" customHeight="1" x14ac:dyDescent="0.35">
      <c r="A12" s="17" t="s">
        <v>68</v>
      </c>
      <c r="B12" s="18">
        <f>COUNTIF('Staff Recruitment 2025'!E7:E56,A12)</f>
        <v>7</v>
      </c>
      <c r="C12" s="18">
        <f>COUNTIFS('Staff Recruitment 2025'!E7:E56,A12,'Staff Recruitment 2025'!K7:K56,"Shortlisted")</f>
        <v>2</v>
      </c>
      <c r="D12" s="18">
        <f>COUNTIFS('Staff Recruitment 2025'!E7:E56,A12,'Staff Recruitment 2025'!K7:K56,"Selected")</f>
        <v>3</v>
      </c>
    </row>
    <row r="13" spans="1:4" ht="18" customHeight="1" x14ac:dyDescent="0.35">
      <c r="A13" s="19" t="s">
        <v>193</v>
      </c>
      <c r="B13" s="20">
        <f>COUNTIF('Staff Recruitment 2025'!E7:E56,A13)</f>
        <v>5</v>
      </c>
      <c r="C13" s="20">
        <f>COUNTIFS('Staff Recruitment 2025'!E7:E56,A13,'Staff Recruitment 2025'!K7:K56,"Shortlisted")</f>
        <v>3</v>
      </c>
      <c r="D13" s="20">
        <f>COUNTIFS('Staff Recruitment 2025'!E7:E56,A13,'Staff Recruitment 2025'!K7:K56,"Selected")</f>
        <v>0</v>
      </c>
    </row>
    <row r="14" spans="1:4" x14ac:dyDescent="0.35">
      <c r="A14" s="21" t="s">
        <v>313</v>
      </c>
      <c r="B14" s="21">
        <f>SUM(B4:B13)</f>
        <v>50</v>
      </c>
      <c r="C14" s="21">
        <f>SUM(C4:C13)</f>
        <v>18</v>
      </c>
      <c r="D14" s="21">
        <f>SUM(D4:D13)</f>
        <v>16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Staff Recruitment 2025</vt:lpstr>
      <vt:lpstr>Department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Akash baburaj.k</cp:lastModifiedBy>
  <cp:lastPrinted>2026-05-18T09:24:42Z</cp:lastPrinted>
  <dcterms:created xsi:type="dcterms:W3CDTF">2026-05-18T05:59:23Z</dcterms:created>
  <dcterms:modified xsi:type="dcterms:W3CDTF">2026-05-18T09:29:55Z</dcterms:modified>
</cp:coreProperties>
</file>